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L" sheetId="1" state="visible" r:id="rId1"/>
    <sheet xmlns:r="http://schemas.openxmlformats.org/officeDocument/2006/relationships" name="FEB" sheetId="2" state="visible" r:id="rId2"/>
    <sheet xmlns:r="http://schemas.openxmlformats.org/officeDocument/2006/relationships" name="JUN" sheetId="3" state="visible" r:id="rId3"/>
    <sheet xmlns:r="http://schemas.openxmlformats.org/officeDocument/2006/relationships" name="SEP" sheetId="4" state="visible" r:id="rId4"/>
    <sheet xmlns:r="http://schemas.openxmlformats.org/officeDocument/2006/relationships" name="AU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-MMM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InKind_JUL" displayName="InKind_JUL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InKind_FEB" displayName="InKind_FEB" ref="A3:J6" headerRowCount="1">
  <autoFilter ref="A3:J6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InKind_JUN" displayName="InKind_JUN" ref="A3:J5" headerRowCount="1">
  <autoFilter ref="A3:J5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InKind_SEP" displayName="InKind_SEP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InKind_AUG" displayName="InKind_AUG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SUM(InKind_JUL[PERISHABLE])</f>
        <v/>
      </c>
      <c r="D2">
        <f>SUM(InKind_JUL[NON-PERISHABLE])</f>
        <v/>
      </c>
      <c r="E2">
        <f>SUM(InKind_JUL[MEAT])</f>
        <v/>
      </c>
      <c r="F2">
        <f>SUM(InKind_JUL[DAIRY])</f>
        <v/>
      </c>
      <c r="G2">
        <f>SUM(InKind_JUL[EGGS])</f>
        <v/>
      </c>
      <c r="H2">
        <f>SUM(InKind_JUL[PRODUCE])</f>
        <v/>
      </c>
      <c r="I2">
        <f>SUM(InKind_JUL[MONTHLY TOTAL])</f>
        <v/>
      </c>
      <c r="J2">
        <f>SUM(InKind_JUL[YTD])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4" t="n">
        <v>44771</v>
      </c>
      <c r="B4" t="inlineStr">
        <is>
          <t>Lida</t>
        </is>
      </c>
      <c r="C4" t="n">
        <v>35</v>
      </c>
      <c r="E4" t="n">
        <v>12</v>
      </c>
      <c r="I4" t="n">
        <v>35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SUM(InKind_FEB[PERISHABLE])</f>
        <v/>
      </c>
      <c r="D2">
        <f>SUM(InKind_FEB[NON-PERISHABLE])</f>
        <v/>
      </c>
      <c r="E2">
        <f>SUM(InKind_FEB[MEAT])</f>
        <v/>
      </c>
      <c r="F2">
        <f>SUM(InKind_FEB[DAIRY])</f>
        <v/>
      </c>
      <c r="G2">
        <f>SUM(InKind_FEB[EGGS])</f>
        <v/>
      </c>
      <c r="H2">
        <f>SUM(InKind_FEB[PRODUCE])</f>
        <v/>
      </c>
      <c r="I2">
        <f>SUM(InKind_FEB[MONTHLY TOTAL])</f>
        <v/>
      </c>
      <c r="J2">
        <f>SUM(InKind_FEB[YTD])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4" t="n">
        <v>45343</v>
      </c>
      <c r="B4" t="inlineStr">
        <is>
          <t>Labkees</t>
        </is>
      </c>
      <c r="C4" t="n">
        <v>12</v>
      </c>
      <c r="I4" t="n">
        <v>12</v>
      </c>
    </row>
    <row r="5">
      <c r="A5" s="4" t="n">
        <v>44614</v>
      </c>
      <c r="B5" t="inlineStr">
        <is>
          <t>Loblaw</t>
        </is>
      </c>
      <c r="C5" t="n">
        <v>15</v>
      </c>
      <c r="E5" t="n">
        <v>3</v>
      </c>
      <c r="F5" t="n">
        <v>12</v>
      </c>
      <c r="I5" t="n">
        <v>15</v>
      </c>
    </row>
    <row r="6">
      <c r="A6" s="4" t="n">
        <v>44251</v>
      </c>
      <c r="B6" t="inlineStr">
        <is>
          <t>Lula's</t>
        </is>
      </c>
      <c r="C6" t="n">
        <v>48</v>
      </c>
      <c r="E6" t="n">
        <v>12</v>
      </c>
      <c r="I6" t="n">
        <v>48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4" t="n">
        <v>44739</v>
      </c>
      <c r="B4" t="inlineStr">
        <is>
          <t>Luke</t>
        </is>
      </c>
      <c r="C4" t="n">
        <v>45</v>
      </c>
      <c r="F4" t="n">
        <v>12</v>
      </c>
      <c r="I4" t="n">
        <v>45</v>
      </c>
    </row>
    <row r="5">
      <c r="B5" t="inlineStr">
        <is>
          <t>Lebby's</t>
        </is>
      </c>
      <c r="C5" t="n">
        <v>12</v>
      </c>
      <c r="D5" t="n">
        <v>60</v>
      </c>
      <c r="E5" t="n">
        <v>12</v>
      </c>
      <c r="I5" t="n">
        <v>72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SUM(InKind_SEP[PERISHABLE])</f>
        <v/>
      </c>
      <c r="D2">
        <f>SUM(InKind_SEP[NON-PERISHABLE])</f>
        <v/>
      </c>
      <c r="E2">
        <f>SUM(InKind_SEP[MEAT])</f>
        <v/>
      </c>
      <c r="F2">
        <f>SUM(InKind_SEP[DAIRY])</f>
        <v/>
      </c>
      <c r="G2">
        <f>SUM(InKind_SEP[EGGS])</f>
        <v/>
      </c>
      <c r="H2">
        <f>SUM(InKind_SEP[PRODUCE])</f>
        <v/>
      </c>
      <c r="I2">
        <f>SUM(InKind_SEP[MONTHLY TOTAL])</f>
        <v/>
      </c>
      <c r="J2">
        <f>SUM(InKind_SEP[YTD])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4" t="n">
        <v>44828</v>
      </c>
      <c r="B4" t="inlineStr">
        <is>
          <t>LaRue</t>
        </is>
      </c>
      <c r="C4" t="n">
        <v>12</v>
      </c>
      <c r="D4" t="n">
        <v>100</v>
      </c>
      <c r="F4" t="n">
        <v>12</v>
      </c>
      <c r="I4" t="n">
        <v>112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SUM(InKind_AUG[PERISHABLE])</f>
        <v/>
      </c>
      <c r="D2">
        <f>SUM(InKind_AUG[NON-PERISHABLE])</f>
        <v/>
      </c>
      <c r="E2">
        <f>SUM(InKind_AUG[MEAT])</f>
        <v/>
      </c>
      <c r="F2">
        <f>SUM(InKind_AUG[DAIRY])</f>
        <v/>
      </c>
      <c r="G2">
        <f>SUM(InKind_AUG[EGGS])</f>
        <v/>
      </c>
      <c r="H2">
        <f>SUM(InKind_AUG[PRODUCE])</f>
        <v/>
      </c>
      <c r="I2">
        <f>SUM(InKind_AUG[MONTHLY TOTAL])</f>
        <v/>
      </c>
      <c r="J2">
        <f>SUM(InKind_AUG[YTD])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4" t="n">
        <v>44435</v>
      </c>
      <c r="B4" t="inlineStr">
        <is>
          <t>LeMahieu</t>
        </is>
      </c>
      <c r="C4" t="n">
        <v>60</v>
      </c>
      <c r="E4" t="n">
        <v>60</v>
      </c>
      <c r="I4" t="n">
        <v>60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2026-06-16T01:07:33Z</dcterms:created>
  <dcterms:modified xmlns:dcterms="http://purl.org/dc/terms/" xmlns:xsi="http://www.w3.org/2001/XMLSchema-instance" xsi:type="dcterms:W3CDTF">2026-06-16T01:07:34Z</dcterms:modified>
</cp:coreProperties>
</file>