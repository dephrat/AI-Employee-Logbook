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L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JUN" sheetId="3" state="visible" r:id="rId3"/>
    <sheet xmlns:r="http://schemas.openxmlformats.org/officeDocument/2006/relationships" name="SEP" sheetId="4" state="visible" r:id="rId4"/>
    <sheet xmlns:r="http://schemas.openxmlformats.org/officeDocument/2006/relationships" name="AUG" sheetId="5" state="visible" r:id="rId5"/>
    <sheet xmlns:r="http://schemas.openxmlformats.org/officeDocument/2006/relationships" name="MAY" sheetId="6" state="visible" r:id="rId6"/>
    <sheet xmlns:r="http://schemas.openxmlformats.org/officeDocument/2006/relationships" name="NO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InKind_JUL" displayName="InKind_JUL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InKind_FEB" displayName="InKind_FEB" ref="A3:J6" headerRowCount="1">
  <autoFilter ref="A3:J6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InKind_JUN" displayName="InKind_JUN" ref="A3:J10" headerRowCount="1">
  <autoFilter ref="A3:J5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InKind_SEP" displayName="InKind_SEP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InKind_AUG" displayName="InKind_AUG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InKind_MAY" displayName="InKind_MAY" ref="A3:J12" headerRowCount="1">
  <autoFilter ref="A3:J11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InKind_NOV" displayName="InKind_NOV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SUM(InKind_JUL[PERISHABLE])</f>
        <v/>
      </c>
      <c r="D2">
        <f>SUM(InKind_JUL[NON-PERISHABLE])</f>
        <v/>
      </c>
      <c r="E2">
        <f>SUM(InKind_JUL[MEAT])</f>
        <v/>
      </c>
      <c r="F2">
        <f>SUM(InKind_JUL[DAIRY])</f>
        <v/>
      </c>
      <c r="G2">
        <f>SUM(InKind_JUL[EGGS])</f>
        <v/>
      </c>
      <c r="H2">
        <f>SUM(InKind_JUL[PRODUCE])</f>
        <v/>
      </c>
      <c r="I2">
        <f>SUM(InKind_JUL[MONTHLY TOTAL])</f>
        <v/>
      </c>
      <c r="J2">
        <f>SUM(InKind_JUL[YTD])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44771</v>
      </c>
      <c r="B4" t="inlineStr">
        <is>
          <t>Lida</t>
        </is>
      </c>
      <c r="C4" t="n">
        <v>35</v>
      </c>
      <c r="E4" t="n">
        <v>12</v>
      </c>
      <c r="I4" t="n">
        <v>35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SUM(InKind_FEB[PERISHABLE])</f>
        <v/>
      </c>
      <c r="D2">
        <f>SUM(InKind_FEB[NON-PERISHABLE])</f>
        <v/>
      </c>
      <c r="E2">
        <f>SUM(InKind_FEB[MEAT])</f>
        <v/>
      </c>
      <c r="F2">
        <f>SUM(InKind_FEB[DAIRY])</f>
        <v/>
      </c>
      <c r="G2">
        <f>SUM(InKind_FEB[EGGS])</f>
        <v/>
      </c>
      <c r="H2">
        <f>SUM(InKind_FEB[PRODUCE])</f>
        <v/>
      </c>
      <c r="I2">
        <f>SUM(InKind_FEB[MONTHLY TOTAL])</f>
        <v/>
      </c>
      <c r="J2">
        <f>SUM(InKind_FEB[YTD])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45343</v>
      </c>
      <c r="B4" t="inlineStr">
        <is>
          <t>Labkees</t>
        </is>
      </c>
      <c r="C4" t="n">
        <v>12</v>
      </c>
      <c r="I4" t="n">
        <v>12</v>
      </c>
    </row>
    <row r="5">
      <c r="A5" s="5" t="n">
        <v>44614</v>
      </c>
      <c r="B5" t="inlineStr">
        <is>
          <t>Loblaw</t>
        </is>
      </c>
      <c r="C5" t="n">
        <v>15</v>
      </c>
      <c r="E5" t="n">
        <v>3</v>
      </c>
      <c r="F5" t="n">
        <v>12</v>
      </c>
      <c r="I5" t="n">
        <v>15</v>
      </c>
    </row>
    <row r="6">
      <c r="A6" s="5" t="n">
        <v>44251</v>
      </c>
      <c r="B6" t="inlineStr">
        <is>
          <t>Lula's</t>
        </is>
      </c>
      <c r="C6" t="n">
        <v>48</v>
      </c>
      <c r="E6" t="n">
        <v>12</v>
      </c>
      <c r="I6" t="n">
        <v>48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44739</v>
      </c>
      <c r="B4" t="inlineStr">
        <is>
          <t>Luke</t>
        </is>
      </c>
      <c r="C4" t="n">
        <v>45</v>
      </c>
      <c r="F4" t="n">
        <v>12</v>
      </c>
      <c r="I4" t="n">
        <v>45</v>
      </c>
    </row>
    <row r="5">
      <c r="B5" t="inlineStr">
        <is>
          <t>Lebby's</t>
        </is>
      </c>
      <c r="C5" t="n">
        <v>12</v>
      </c>
      <c r="D5" t="n">
        <v>60</v>
      </c>
      <c r="E5" t="n">
        <v>12</v>
      </c>
      <c r="I5" t="n">
        <v>72</v>
      </c>
    </row>
    <row r="6">
      <c r="A6" s="5" t="n">
        <v>45828</v>
      </c>
      <c r="B6" t="inlineStr">
        <is>
          <t>MacBook-Air</t>
        </is>
      </c>
    </row>
    <row r="7">
      <c r="B7" t="inlineStr">
        <is>
          <t>Yu66u</t>
        </is>
      </c>
      <c r="D7" t="n">
        <v>856</v>
      </c>
      <c r="I7" t="n">
        <v>856</v>
      </c>
    </row>
    <row r="8">
      <c r="B8" t="inlineStr">
        <is>
          <t>SDM</t>
        </is>
      </c>
      <c r="C8" t="n">
        <v>320</v>
      </c>
      <c r="D8" t="n">
        <v>160</v>
      </c>
      <c r="F8" t="n">
        <v>320</v>
      </c>
      <c r="I8" t="n">
        <v>480</v>
      </c>
    </row>
    <row r="9">
      <c r="A9" s="5" t="n">
        <v>46174</v>
      </c>
      <c r="B9" t="inlineStr">
        <is>
          <t>SDM</t>
        </is>
      </c>
      <c r="C9" t="n">
        <v>360</v>
      </c>
      <c r="D9" t="n">
        <v>160</v>
      </c>
      <c r="F9" t="n">
        <v>360</v>
      </c>
      <c r="I9" t="n">
        <v>520</v>
      </c>
    </row>
    <row r="10"/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SUM(InKind_SEP[PERISHABLE])</f>
        <v/>
      </c>
      <c r="D2">
        <f>SUM(InKind_SEP[NON-PERISHABLE])</f>
        <v/>
      </c>
      <c r="E2">
        <f>SUM(InKind_SEP[MEAT])</f>
        <v/>
      </c>
      <c r="F2">
        <f>SUM(InKind_SEP[DAIRY])</f>
        <v/>
      </c>
      <c r="G2">
        <f>SUM(InKind_SEP[EGGS])</f>
        <v/>
      </c>
      <c r="H2">
        <f>SUM(InKind_SEP[PRODUCE])</f>
        <v/>
      </c>
      <c r="I2">
        <f>SUM(InKind_SEP[MONTHLY TOTAL])</f>
        <v/>
      </c>
      <c r="J2">
        <f>SUM(InKind_SEP[YTD])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44828</v>
      </c>
      <c r="B4" t="inlineStr">
        <is>
          <t>LaRue</t>
        </is>
      </c>
      <c r="C4" t="n">
        <v>12</v>
      </c>
      <c r="D4" t="n">
        <v>100</v>
      </c>
      <c r="F4" t="n">
        <v>12</v>
      </c>
      <c r="I4" t="n">
        <v>112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SUM(InKind_AUG[PERISHABLE])</f>
        <v/>
      </c>
      <c r="D2">
        <f>SUM(InKind_AUG[NON-PERISHABLE])</f>
        <v/>
      </c>
      <c r="E2">
        <f>SUM(InKind_AUG[MEAT])</f>
        <v/>
      </c>
      <c r="F2">
        <f>SUM(InKind_AUG[DAIRY])</f>
        <v/>
      </c>
      <c r="G2">
        <f>SUM(InKind_AUG[EGGS])</f>
        <v/>
      </c>
      <c r="H2">
        <f>SUM(InKind_AUG[PRODUCE])</f>
        <v/>
      </c>
      <c r="I2">
        <f>SUM(InKind_AUG[MONTHLY TOTAL])</f>
        <v/>
      </c>
      <c r="J2">
        <f>SUM(InKind_AUG[YTD])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44435</v>
      </c>
      <c r="B4" t="inlineStr">
        <is>
          <t>LeMahieu</t>
        </is>
      </c>
      <c r="C4" t="n">
        <v>60</v>
      </c>
      <c r="E4" t="n">
        <v>60</v>
      </c>
      <c r="I4" t="n">
        <v>60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SUM(InKind_MAY[PERISHABLE])</f>
        <v/>
      </c>
      <c r="D2">
        <f>SUM(InKind_MAY[NON-PERISHABLE])</f>
        <v/>
      </c>
      <c r="E2">
        <f>SUM(InKind_MAY[MEAT])</f>
        <v/>
      </c>
      <c r="F2">
        <f>SUM(InKind_MAY[DAIRY])</f>
        <v/>
      </c>
      <c r="G2">
        <f>SUM(InKind_MAY[EGGS])</f>
        <v/>
      </c>
      <c r="H2">
        <f>SUM(InKind_MAY[PRODUCE])</f>
        <v/>
      </c>
      <c r="I2">
        <f>SUM(InKind_MAY[MONTHLY TOTAL])</f>
        <v/>
      </c>
      <c r="J2">
        <f>SUM(InKind_MAY[YTD])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41406</v>
      </c>
      <c r="B4" t="inlineStr">
        <is>
          <t>Port BIC</t>
        </is>
      </c>
    </row>
    <row r="5">
      <c r="A5" s="5" t="n">
        <v>45075</v>
      </c>
      <c r="B5" t="inlineStr">
        <is>
          <t>Port BIC</t>
        </is>
      </c>
    </row>
    <row r="6">
      <c r="A6" s="5" t="n">
        <v>44701</v>
      </c>
      <c r="B6" t="inlineStr">
        <is>
          <t>Port BIC</t>
        </is>
      </c>
    </row>
    <row r="7">
      <c r="A7" s="5" t="n">
        <v>44336</v>
      </c>
      <c r="B7" t="inlineStr">
        <is>
          <t>Port BIC</t>
        </is>
      </c>
    </row>
    <row r="8">
      <c r="A8" s="5" t="n">
        <v>43614</v>
      </c>
      <c r="B8" t="inlineStr">
        <is>
          <t>Port BIC</t>
        </is>
      </c>
    </row>
    <row r="9">
      <c r="A9" s="5" t="n">
        <v>43232</v>
      </c>
      <c r="B9" t="inlineStr">
        <is>
          <t>Port BIC</t>
        </is>
      </c>
    </row>
    <row r="10">
      <c r="A10" s="5" t="n">
        <v>42153</v>
      </c>
      <c r="B10" t="inlineStr">
        <is>
          <t>Port BIC</t>
        </is>
      </c>
    </row>
    <row r="11">
      <c r="A11" s="5" t="n">
        <v>42152</v>
      </c>
      <c r="B11" t="inlineStr">
        <is>
          <t>Port BIC</t>
        </is>
      </c>
    </row>
    <row r="12">
      <c r="A12" s="5" t="n">
        <v>41406</v>
      </c>
      <c r="B12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SUM(InKind_NOV[PERISHABLE])</f>
        <v/>
      </c>
      <c r="D2">
        <f>SUM(InKind_NOV[NON-PERISHABLE])</f>
        <v/>
      </c>
      <c r="E2">
        <f>SUM(InKind_NOV[MEAT])</f>
        <v/>
      </c>
      <c r="F2">
        <f>SUM(InKind_NOV[DAIRY])</f>
        <v/>
      </c>
      <c r="G2">
        <f>SUM(InKind_NOV[EGGS])</f>
        <v/>
      </c>
      <c r="H2">
        <f>SUM(InKind_NOV[PRODUCE])</f>
        <v/>
      </c>
      <c r="I2">
        <f>SUM(InKind_NOV[MONTHLY TOTAL])</f>
        <v/>
      </c>
      <c r="J2">
        <f>SUM(InKind_NOV[YTD])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43773</v>
      </c>
      <c r="B4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2026-06-16T01:07:33Z</dcterms:created>
  <dcterms:modified xmlns:dcterms="http://purl.org/dc/terms/" xmlns:xsi="http://www.w3.org/2001/XMLSchema-instance" xsi:type="dcterms:W3CDTF">2026-06-18T23:45:43Z</dcterms:modified>
</cp:coreProperties>
</file>