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NO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9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InKind_MAY" displayName="InKind_MAY" ref="A3:J11" headerRowCount="1">
  <autoFilter ref="A3:J11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Kind_NOV" displayName="InKind_NOV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5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5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  <row r="6">
      <c r="A6" s="5" t="n">
        <v>45828</v>
      </c>
      <c r="B6" t="inlineStr">
        <is>
          <t>MacBook-Air</t>
        </is>
      </c>
    </row>
    <row r="7"/>
    <row r="8"/>
    <row r="9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SUM(InKind_MAY[PERISHABLE])</f>
        <v/>
      </c>
      <c r="D2">
        <f>SUM(InKind_MAY[NON-PERISHABLE])</f>
        <v/>
      </c>
      <c r="E2">
        <f>SUM(InKind_MAY[MEAT])</f>
        <v/>
      </c>
      <c r="F2">
        <f>SUM(InKind_MAY[DAIRY])</f>
        <v/>
      </c>
      <c r="G2">
        <f>SUM(InKind_MAY[EGGS])</f>
        <v/>
      </c>
      <c r="H2">
        <f>SUM(InKind_MAY[PRODUCE])</f>
        <v/>
      </c>
      <c r="I2">
        <f>SUM(InKind_MAY[MONTHLY TOTAL])</f>
        <v/>
      </c>
      <c r="J2">
        <f>SUM(InKind_MAY[YTD])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45075</v>
      </c>
      <c r="B4" t="inlineStr">
        <is>
          <t>Port BIC</t>
        </is>
      </c>
    </row>
    <row r="5">
      <c r="A5" s="5" t="n">
        <v>44701</v>
      </c>
      <c r="B5" t="inlineStr">
        <is>
          <t>Port BIC</t>
        </is>
      </c>
    </row>
    <row r="6">
      <c r="A6" s="5" t="n">
        <v>44336</v>
      </c>
      <c r="B6" t="inlineStr">
        <is>
          <t>Port BIC</t>
        </is>
      </c>
    </row>
    <row r="7">
      <c r="A7" s="5" t="n">
        <v>43614</v>
      </c>
      <c r="B7" t="inlineStr">
        <is>
          <t>Port BIC</t>
        </is>
      </c>
    </row>
    <row r="8">
      <c r="A8" s="5" t="n">
        <v>43232</v>
      </c>
      <c r="B8" t="inlineStr">
        <is>
          <t>Port BIC</t>
        </is>
      </c>
    </row>
    <row r="9">
      <c r="A9" s="5" t="n">
        <v>42153</v>
      </c>
      <c r="B9" t="inlineStr">
        <is>
          <t>Port BIC</t>
        </is>
      </c>
    </row>
    <row r="10">
      <c r="A10" s="5" t="n">
        <v>42152</v>
      </c>
      <c r="B10" t="inlineStr">
        <is>
          <t>Port BIC</t>
        </is>
      </c>
    </row>
    <row r="11">
      <c r="A11" s="5" t="n">
        <v>41406</v>
      </c>
      <c r="B11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SUM(InKind_NOV[PERISHABLE])</f>
        <v/>
      </c>
      <c r="D2">
        <f>SUM(InKind_NOV[NON-PERISHABLE])</f>
        <v/>
      </c>
      <c r="E2">
        <f>SUM(InKind_NOV[MEAT])</f>
        <v/>
      </c>
      <c r="F2">
        <f>SUM(InKind_NOV[DAIRY])</f>
        <v/>
      </c>
      <c r="G2">
        <f>SUM(InKind_NOV[EGGS])</f>
        <v/>
      </c>
      <c r="H2">
        <f>SUM(InKind_NOV[PRODUCE])</f>
        <v/>
      </c>
      <c r="I2">
        <f>SUM(InKind_NOV[MONTHLY TOTAL])</f>
        <v/>
      </c>
      <c r="J2">
        <f>SUM(InKind_NOV[YTD])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43773</v>
      </c>
      <c r="B4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2026-06-18T03:50:31Z</dcterms:modified>
</cp:coreProperties>
</file>